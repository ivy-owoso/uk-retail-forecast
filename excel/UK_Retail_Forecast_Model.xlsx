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80a56e04d8896/Documents/GitHub/uk-retail-forecast/excel/"/>
    </mc:Choice>
  </mc:AlternateContent>
  <xr:revisionPtr revIDLastSave="417" documentId="8_{7600E719-21FD-40D1-A23F-2EE5B6474CFC}" xr6:coauthVersionLast="47" xr6:coauthVersionMax="47" xr10:uidLastSave="{A7BBDC7B-288B-4088-A0AD-C6E1494C6F5E}"/>
  <bookViews>
    <workbookView xWindow="-98" yWindow="-98" windowWidth="21795" windowHeight="12975" xr2:uid="{3A523DF7-4F7F-41AD-85BD-EA8FCE486D5F}"/>
  </bookViews>
  <sheets>
    <sheet name="Executive Dashboard" sheetId="5" r:id="rId1"/>
    <sheet name="Forecasting Engine" sheetId="3" r:id="rId2"/>
    <sheet name="Model Validation" sheetId="4" r:id="rId3"/>
  </sheets>
  <definedNames>
    <definedName name="ExternalData_1" localSheetId="1" hidden="1">'Forecasting Engine'!$A$1:$C$26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3" l="1"/>
  <c r="B4" i="5"/>
  <c r="A22" i="5"/>
  <c r="A21" i="5"/>
  <c r="A20" i="5"/>
  <c r="A19" i="5"/>
  <c r="A18" i="5"/>
  <c r="A17" i="5"/>
  <c r="A16" i="5"/>
  <c r="A15" i="5"/>
  <c r="A14" i="5"/>
  <c r="A13" i="5"/>
  <c r="A12" i="5"/>
  <c r="A11" i="5"/>
  <c r="B8" i="5" a="1"/>
  <c r="I2" i="4"/>
  <c r="I1" i="4"/>
  <c r="F22" i="4"/>
  <c r="F23" i="4"/>
  <c r="F24" i="4"/>
  <c r="F25" i="4"/>
  <c r="E22" i="4"/>
  <c r="E23" i="4"/>
  <c r="E24" i="4"/>
  <c r="E25" i="4"/>
  <c r="E21" i="4"/>
  <c r="F21" i="4" s="1"/>
  <c r="F20" i="4"/>
  <c r="E20" i="4"/>
  <c r="I6" i="3"/>
  <c r="I4" i="3"/>
  <c r="I3" i="3"/>
  <c r="I2" i="3"/>
  <c r="F37" i="3"/>
  <c r="F36" i="3"/>
  <c r="F35" i="3"/>
  <c r="F34" i="3"/>
  <c r="F33" i="3"/>
  <c r="F32" i="3"/>
  <c r="F31" i="3"/>
  <c r="F30" i="3"/>
  <c r="F29" i="3"/>
  <c r="F28" i="3"/>
  <c r="F27" i="3"/>
  <c r="E28" i="3"/>
  <c r="E29" i="3"/>
  <c r="E30" i="3"/>
  <c r="E31" i="3"/>
  <c r="E32" i="3"/>
  <c r="E33" i="3"/>
  <c r="E34" i="3"/>
  <c r="E35" i="3"/>
  <c r="E36" i="3"/>
  <c r="E37" i="3"/>
  <c r="E27" i="3"/>
  <c r="D27" i="3"/>
  <c r="A26" i="3"/>
  <c r="B27" i="3"/>
  <c r="B22" i="5" l="1"/>
  <c r="B20" i="5"/>
  <c r="B19" i="5"/>
  <c r="B18" i="5"/>
  <c r="B21" i="5"/>
  <c r="B17" i="5"/>
  <c r="B16" i="5"/>
  <c r="B15" i="5"/>
  <c r="B12" i="5"/>
  <c r="B14" i="5"/>
  <c r="B13" i="5"/>
  <c r="B11" i="5"/>
  <c r="F26" i="3"/>
  <c r="E26" i="3"/>
  <c r="B28" i="3"/>
  <c r="D28" i="3" s="1"/>
  <c r="A27" i="3"/>
  <c r="B5" i="5" l="1"/>
  <c r="B3" i="5"/>
  <c r="A28" i="3"/>
  <c r="B29" i="3"/>
  <c r="D29" i="3" s="1"/>
  <c r="A29" i="3" l="1"/>
  <c r="B30" i="3"/>
  <c r="D30" i="3" s="1"/>
  <c r="A30" i="3" l="1"/>
  <c r="B31" i="3"/>
  <c r="D31" i="3" s="1"/>
  <c r="A31" i="3" l="1"/>
  <c r="B32" i="3"/>
  <c r="D32" i="3" s="1"/>
  <c r="A32" i="3" l="1"/>
  <c r="B33" i="3"/>
  <c r="D33" i="3" s="1"/>
  <c r="A33" i="3" l="1"/>
  <c r="B34" i="3"/>
  <c r="D34" i="3" s="1"/>
  <c r="A34" i="3" l="1"/>
  <c r="B35" i="3"/>
  <c r="D35" i="3" s="1"/>
  <c r="A35" i="3" l="1"/>
  <c r="B36" i="3"/>
  <c r="D36" i="3" s="1"/>
  <c r="A36" i="3" l="1"/>
  <c r="B37" i="3"/>
  <c r="A37" i="3" l="1"/>
  <c r="D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3EC25-FAF7-4C61-A1CB-409975BC6AAE}" keepAlive="1" name="Query - uk_monthly_retail_summary" description="Connection to the 'uk_monthly_retail_summary' query in the workbook." type="5" refreshedVersion="8" background="1" saveData="1">
    <dbPr connection="Provider=Microsoft.Mashup.OleDb.1;Data Source=$Workbook$;Location=uk_monthly_retail_summary;Extended Properties=&quot;&quot;" command="SELECT * FROM [uk_monthly_retail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<sst xmlns="http://schemas.openxmlformats.org/spreadsheetml/2006/main" count="102" uniqueCount="53">
  <si>
    <t>year_month</t>
  </si>
  <si>
    <t>Date</t>
  </si>
  <si>
    <t>Historical Revenue</t>
  </si>
  <si>
    <t>Forecast</t>
  </si>
  <si>
    <t>Lower 95% CI</t>
  </si>
  <si>
    <t>Upper 95% CI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</si>
  <si>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</si>
  <si>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</si>
  <si>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</si>
  <si>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</si>
  <si>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</si>
  <si>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</si>
  <si>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</si>
  <si>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</si>
  <si>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</si>
  <si>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</si>
  <si>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</si>
  <si>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</si>
  <si>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</si>
  <si>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</si>
  <si>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</si>
  <si>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</si>
  <si>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</si>
  <si>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</si>
  <si>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</si>
  <si>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</si>
  <si>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</si>
  <si>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</si>
  <si>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</si>
  <si>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</si>
  <si>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Model Parameters</t>
  </si>
  <si>
    <t>Alpha (level)</t>
  </si>
  <si>
    <t>Beta (trend)</t>
  </si>
  <si>
    <t>Gamma (seasonal)</t>
  </si>
  <si>
    <t>Detected seasonality length</t>
  </si>
  <si>
    <t>Actual Revenue</t>
  </si>
  <si>
    <t>Sample</t>
  </si>
  <si>
    <t>Backtest Forecast</t>
  </si>
  <si>
    <t>APE</t>
  </si>
  <si>
    <t>Train</t>
  </si>
  <si>
    <t>Test</t>
  </si>
  <si>
    <t>MAPE (6-month holdout)</t>
  </si>
  <si>
    <t>Detected seasonality (training only, 18mo)</t>
  </si>
  <si>
    <t>Interpretation</t>
  </si>
  <si>
    <t>UK E-Commerce Sales Forecast - Executive Dashboard</t>
  </si>
  <si>
    <t>Next 12M Projected Revenue</t>
  </si>
  <si>
    <t>Model Baseline MAPE%</t>
  </si>
  <si>
    <t>Q4 Peak Working Capital Needed</t>
  </si>
  <si>
    <t>Scenario:</t>
  </si>
  <si>
    <t>Base Case</t>
  </si>
  <si>
    <t>Scenario Forecast</t>
  </si>
  <si>
    <t>Assumption: COGS % of Revenue (editable)</t>
  </si>
  <si>
    <t>22% MAPE reflects the limits of an 18-month training window (only 1.5 seasonal
cycles); Excel's auto-detection found no reliable cycle, not the true 12-month retail calendar. The production forecast in Tab 2 uses the full 24 months, where seasonality is forced explicitly rather than auto-detected, so it isn't subject to the same detection limitation.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</si>
</sst>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mm/yyyy"/>
    <numFmt numFmtId="165" formatCode="yyyy\-mm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2" borderId="1" xfId="0" applyNumberFormat="1" applyFill="1" applyBorder="1"/>
    <xf numFmtId="14" fontId="0" fillId="2" borderId="2" xfId="0" applyNumberFormat="1" applyFill="1" applyBorder="1"/>
    <xf numFmtId="165" fontId="0" fillId="0" borderId="1" xfId="0" applyNumberFormat="1" applyBorder="1"/>
    <xf numFmtId="14" fontId="0" fillId="0" borderId="2" xfId="0" applyNumberFormat="1" applyBorder="1"/>
    <xf numFmtId="166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/>
    <xf numFmtId="44" fontId="0" fillId="0" borderId="0" xfId="0" applyNumberFormat="1"/>
    <xf numFmtId="44" fontId="0" fillId="2" borderId="2" xfId="0" applyNumberFormat="1" applyFill="1" applyBorder="1"/>
    <xf numFmtId="44" fontId="0" fillId="0" borderId="2" xfId="0" applyNumberFormat="1" applyBorder="1"/>
    <xf numFmtId="0" fontId="4" fillId="0" borderId="0" xfId="0" applyFont="1"/>
    <xf numFmtId="0" fontId="0" fillId="3" borderId="0" xfId="0" applyFill="1"/>
    <xf numFmtId="0" fontId="0" fillId="3" borderId="3" xfId="0" applyFill="1" applyBorder="1"/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b val="0"/>
      </font>
      <numFmt numFmtId="34" formatCode="_-&quot;£&quot;* #,##0.00_-;\-&quot;£&quot;* #,##0.00_-;_-&quot;£&quot;* &quot;-&quot;??_-;_-@_-"/>
    </dxf>
    <dxf>
      <font>
        <b val="0"/>
      </font>
      <numFmt numFmtId="34" formatCode="_-&quot;£&quot;* #,##0.00_-;\-&quot;£&quot;* #,##0.00_-;_-&quot;£&quot;* &quot;-&quot;??_-;_-@_-"/>
    </dxf>
    <dxf>
      <font>
        <b val="0"/>
      </font>
      <numFmt numFmtId="34" formatCode="_-&quot;£&quot;* #,##0.00_-;\-&quot;£&quot;* #,##0.00_-;_-&quot;£&quot;* &quot;-&quot;??_-;_-@_-"/>
    </dxf>
    <dxf>
      <font>
        <b val="0"/>
      </font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yyyy\-mm"/>
    </dxf>
    <dxf>
      <numFmt numFmtId="165" formatCode="yyyy\-mm"/>
    </dxf>
    <dxf>
      <font>
        <b val="0"/>
      </font>
    </dxf>
  </dxfs>
  <tableStyles count="0" defaultTableStyle="TableStyleMedium2" defaultPivotStyle="PivotStyleLight16"/>
  <colors>
    <mruColors>
      <color rgb="FF00EE4F"/>
      <color rgb="FF66FF99"/>
      <color rgb="FFF1419D"/>
      <color rgb="FFBA75FF"/>
      <color rgb="FFD9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12 Month UK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Monthly Revenue</c:v>
          </c:tx>
          <c:spPr>
            <a:ln w="19050" cap="rnd">
              <a:solidFill>
                <a:srgbClr val="BA75FF"/>
              </a:solidFill>
              <a:round/>
            </a:ln>
            <a:effectLst/>
          </c:spPr>
          <c:marker>
            <c:symbol val="none"/>
          </c:marker>
          <c:xVal>
            <c:numRef>
              <c:f>'Forecasting Engine'!$B$2:$B$25</c:f>
              <c:numCache>
                <c:formatCode>m/d/yyyy</c:formatCode>
                <c:ptCount val="24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</c:numCache>
            </c:numRef>
          </c:xVal>
          <c:yVal>
            <c:numRef>
              <c:f>'Forecasting Engine'!$C$2:$C$25</c:f>
              <c:numCache>
                <c:formatCode>_("£"* #,##0.00_);_("£"* \(#,##0.00\);_("£"* "-"??_);_(@_)</c:formatCode>
                <c:ptCount val="24"/>
                <c:pt idx="0">
                  <c:v>729781.68</c:v>
                </c:pt>
                <c:pt idx="1">
                  <c:v>484647.53</c:v>
                </c:pt>
                <c:pt idx="2">
                  <c:v>447842.01</c:v>
                </c:pt>
                <c:pt idx="3">
                  <c:v>670956.71</c:v>
                </c:pt>
                <c:pt idx="4">
                  <c:v>558114.09</c:v>
                </c:pt>
                <c:pt idx="5">
                  <c:v>553099.74</c:v>
                </c:pt>
                <c:pt idx="6">
                  <c:v>603400.69999999995</c:v>
                </c:pt>
                <c:pt idx="7">
                  <c:v>552195.31000000006</c:v>
                </c:pt>
                <c:pt idx="8">
                  <c:v>582147.37</c:v>
                </c:pt>
                <c:pt idx="9">
                  <c:v>727454.58</c:v>
                </c:pt>
                <c:pt idx="10">
                  <c:v>947424.5</c:v>
                </c:pt>
                <c:pt idx="11">
                  <c:v>1251705.07</c:v>
                </c:pt>
                <c:pt idx="12">
                  <c:v>1084989.96</c:v>
                </c:pt>
                <c:pt idx="13">
                  <c:v>547167.61</c:v>
                </c:pt>
                <c:pt idx="14">
                  <c:v>418933.95</c:v>
                </c:pt>
                <c:pt idx="15">
                  <c:v>572873.13</c:v>
                </c:pt>
                <c:pt idx="16">
                  <c:v>466132.15</c:v>
                </c:pt>
                <c:pt idx="17">
                  <c:v>619391.15</c:v>
                </c:pt>
                <c:pt idx="18">
                  <c:v>606195.96</c:v>
                </c:pt>
                <c:pt idx="19">
                  <c:v>578224.68000000005</c:v>
                </c:pt>
                <c:pt idx="20">
                  <c:v>579958.6</c:v>
                </c:pt>
                <c:pt idx="21">
                  <c:v>878029.11</c:v>
                </c:pt>
                <c:pt idx="22">
                  <c:v>914678.25</c:v>
                </c:pt>
                <c:pt idx="23">
                  <c:v>1286274.78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9-45FF-BEB2-3D32801F67A7}"/>
            </c:ext>
          </c:extLst>
        </c:ser>
        <c:ser>
          <c:idx val="1"/>
          <c:order val="1"/>
          <c:tx>
            <c:v>Selected Scenario Forecast</c:v>
          </c:tx>
          <c:spPr>
            <a:ln w="19050" cap="rnd">
              <a:solidFill>
                <a:srgbClr val="F1419D"/>
              </a:solidFill>
              <a:round/>
            </a:ln>
            <a:effectLst/>
          </c:spPr>
          <c:marker>
            <c:symbol val="none"/>
          </c:marker>
          <c:xVal>
            <c:numRef>
              <c:f>'Executive Dashboard'!$A$11:$A$22</c:f>
              <c:numCache>
                <c:formatCode>m/d/yyyy</c:formatCode>
                <c:ptCount val="12"/>
                <c:pt idx="0">
                  <c:v>40878</c:v>
                </c:pt>
                <c:pt idx="1">
                  <c:v>40909</c:v>
                </c:pt>
                <c:pt idx="2">
                  <c:v>40940</c:v>
                </c:pt>
                <c:pt idx="3">
                  <c:v>40969</c:v>
                </c:pt>
                <c:pt idx="4">
                  <c:v>41000</c:v>
                </c:pt>
                <c:pt idx="5">
                  <c:v>41030</c:v>
                </c:pt>
                <c:pt idx="6">
                  <c:v>41061</c:v>
                </c:pt>
                <c:pt idx="7">
                  <c:v>41091</c:v>
                </c:pt>
                <c:pt idx="8">
                  <c:v>41122</c:v>
                </c:pt>
                <c:pt idx="9">
                  <c:v>41153</c:v>
                </c:pt>
                <c:pt idx="10">
                  <c:v>41183</c:v>
                </c:pt>
                <c:pt idx="11">
                  <c:v>41214</c:v>
                </c:pt>
              </c:numCache>
            </c:numRef>
          </c:xVal>
          <c:yVal>
            <c:numRef>
              <c:f>'Executive Dashboard'!$B$11:$B$22</c:f>
              <c:numCache>
                <c:formatCode>_("£"* #,##0.00_);_("£"* \(#,##0.00\);_("£"* "-"??_);_(@_)</c:formatCode>
                <c:ptCount val="12"/>
                <c:pt idx="0">
                  <c:v>1122333.5263623169</c:v>
                </c:pt>
                <c:pt idx="1">
                  <c:v>587605.13624408911</c:v>
                </c:pt>
                <c:pt idx="2">
                  <c:v>461944.27268901124</c:v>
                </c:pt>
                <c:pt idx="3">
                  <c:v>618656.08070680406</c:v>
                </c:pt>
                <c:pt idx="4">
                  <c:v>514638.15995633265</c:v>
                </c:pt>
                <c:pt idx="5">
                  <c:v>655937.85802146571</c:v>
                </c:pt>
                <c:pt idx="6">
                  <c:v>684052.84665680223</c:v>
                </c:pt>
                <c:pt idx="7">
                  <c:v>647813.39081430412</c:v>
                </c:pt>
                <c:pt idx="8">
                  <c:v>665089.97632416431</c:v>
                </c:pt>
                <c:pt idx="9">
                  <c:v>886769.93539865222</c:v>
                </c:pt>
                <c:pt idx="10">
                  <c:v>1015193.7110166557</c:v>
                </c:pt>
                <c:pt idx="11">
                  <c:v>1356859.9185903929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99-45FF-BEB2-3D32801F67A7}"/>
            </c:ext>
          </c:extLst>
        </c:ser>
        <c:ser>
          <c:idx val="2"/>
          <c:order val="2"/>
          <c:tx>
            <c:v>Lower 95% CI</c:v>
          </c:tx>
          <c:spPr>
            <a:ln w="12700" cap="rnd">
              <a:solidFill>
                <a:srgbClr val="00EE4F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'Forecasting Engine'!$B$26:$B$37</c:f>
              <c:numCache>
                <c:formatCode>m/d/yyyy</c:formatCode>
                <c:ptCount val="12"/>
                <c:pt idx="0">
                  <c:v>40878</c:v>
                </c:pt>
                <c:pt idx="1">
                  <c:v>40909</c:v>
                </c:pt>
                <c:pt idx="2">
                  <c:v>40940</c:v>
                </c:pt>
                <c:pt idx="3">
                  <c:v>40969</c:v>
                </c:pt>
                <c:pt idx="4">
                  <c:v>41000</c:v>
                </c:pt>
                <c:pt idx="5">
                  <c:v>41030</c:v>
                </c:pt>
                <c:pt idx="6">
                  <c:v>41061</c:v>
                </c:pt>
                <c:pt idx="7">
                  <c:v>41091</c:v>
                </c:pt>
                <c:pt idx="8">
                  <c:v>41122</c:v>
                </c:pt>
                <c:pt idx="9">
                  <c:v>41153</c:v>
                </c:pt>
                <c:pt idx="10">
                  <c:v>41183</c:v>
                </c:pt>
                <c:pt idx="11">
                  <c:v>41214</c:v>
                </c:pt>
              </c:numCache>
            </c:numRef>
          </c:xVal>
          <c:yVal>
            <c:numRef>
              <c:f>'Forecasting Engine'!$E$26:$E$37</c:f>
              <c:numCache>
                <c:formatCode>_("£"* #,##0.00_);_("£"* \(#,##0.00\);_("£"* "-"??_);_(@_)</c:formatCode>
                <c:ptCount val="12"/>
                <c:pt idx="0">
                  <c:v>960935.02952437126</c:v>
                </c:pt>
                <c:pt idx="1">
                  <c:v>348027.07552287716</c:v>
                </c:pt>
                <c:pt idx="2">
                  <c:v>154276.86671616527</c:v>
                </c:pt>
                <c:pt idx="3">
                  <c:v>246708.70117095334</c:v>
                </c:pt>
                <c:pt idx="4">
                  <c:v>79936.963362415787</c:v>
                </c:pt>
                <c:pt idx="5">
                  <c:v>158916.04156617291</c:v>
                </c:pt>
                <c:pt idx="6">
                  <c:v>124542.21933569317</c:v>
                </c:pt>
                <c:pt idx="7">
                  <c:v>25286.186362099019</c:v>
                </c:pt>
                <c:pt idx="8">
                  <c:v>-21208.24051064346</c:v>
                </c:pt>
                <c:pt idx="9">
                  <c:v>135798.47766366857</c:v>
                </c:pt>
                <c:pt idx="10">
                  <c:v>198548.4968669283</c:v>
                </c:pt>
                <c:pt idx="11">
                  <c:v>473474.560652846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99-45FF-BEB2-3D32801F67A7}"/>
            </c:ext>
          </c:extLst>
        </c:ser>
        <c:ser>
          <c:idx val="3"/>
          <c:order val="3"/>
          <c:tx>
            <c:v>Upper 95% CI</c:v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'Forecasting Engine'!$B$26:$B$37</c:f>
              <c:numCache>
                <c:formatCode>m/d/yyyy</c:formatCode>
                <c:ptCount val="12"/>
                <c:pt idx="0">
                  <c:v>40878</c:v>
                </c:pt>
                <c:pt idx="1">
                  <c:v>40909</c:v>
                </c:pt>
                <c:pt idx="2">
                  <c:v>40940</c:v>
                </c:pt>
                <c:pt idx="3">
                  <c:v>40969</c:v>
                </c:pt>
                <c:pt idx="4">
                  <c:v>41000</c:v>
                </c:pt>
                <c:pt idx="5">
                  <c:v>41030</c:v>
                </c:pt>
                <c:pt idx="6">
                  <c:v>41061</c:v>
                </c:pt>
                <c:pt idx="7">
                  <c:v>41091</c:v>
                </c:pt>
                <c:pt idx="8">
                  <c:v>41122</c:v>
                </c:pt>
                <c:pt idx="9">
                  <c:v>41153</c:v>
                </c:pt>
                <c:pt idx="10">
                  <c:v>41183</c:v>
                </c:pt>
                <c:pt idx="11">
                  <c:v>41214</c:v>
                </c:pt>
              </c:numCache>
            </c:numRef>
          </c:xVal>
          <c:yVal>
            <c:numRef>
              <c:f>'Forecasting Engine'!$F$26:$F$37</c:f>
              <c:numCache>
                <c:formatCode>_("£"* #,##0.00_);_("£"* \(#,##0.00\);_("£"* "-"??_);_(@_)</c:formatCode>
                <c:ptCount val="12"/>
                <c:pt idx="0">
                  <c:v>1283732.0232002626</c:v>
                </c:pt>
                <c:pt idx="1">
                  <c:v>827183.19696530106</c:v>
                </c:pt>
                <c:pt idx="2">
                  <c:v>769611.67866185727</c:v>
                </c:pt>
                <c:pt idx="3">
                  <c:v>990603.46024265478</c:v>
                </c:pt>
                <c:pt idx="4">
                  <c:v>949339.3565502495</c:v>
                </c:pt>
                <c:pt idx="5">
                  <c:v>1152959.6744767586</c:v>
                </c:pt>
                <c:pt idx="6">
                  <c:v>1243563.4739779113</c:v>
                </c:pt>
                <c:pt idx="7">
                  <c:v>1270340.5952665093</c:v>
                </c:pt>
                <c:pt idx="8">
                  <c:v>1351388.1931589721</c:v>
                </c:pt>
                <c:pt idx="9">
                  <c:v>1637741.3931336359</c:v>
                </c:pt>
                <c:pt idx="10">
                  <c:v>1831838.9251663829</c:v>
                </c:pt>
                <c:pt idx="11">
                  <c:v>2240245.2765279398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99-45FF-BEB2-3D32801F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955695"/>
        <c:axId val="1957102543"/>
      </c:scatterChart>
      <c:valAx>
        <c:axId val="203895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02543"/>
        <c:crosses val="autoZero"/>
        <c:crossBetween val="midCat"/>
      </c:valAx>
      <c:valAx>
        <c:axId val="19571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5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388142</xdr:colOff>
      <xdr:row>6</xdr:row>
      <xdr:rowOff>128587</xdr:rowOff>
    </xdr:from>
    <xdr:to>
      <xdr:col>12</xdr:col>
      <xdr:colOff>547687</xdr:colOff>
      <xdr:row>26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31358C-A4D6-413F-E78A-BFB234CFE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8C37DC-F688-4FD2-9CE6-0AD44AA2286D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year_month" tableColumnId="1"/>
      <queryTableField id="2" name="Date" tableColumnId="2"/>
      <queryTableField id="3" name="Historical Revenue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F74BC8-CC9B-40B0-84CE-426BE0801999}" name="uk_monthly_retail_summary" displayName="uk_monthly_retail_summary" ref="A1:F27" tableType="queryTable" totalsRowCount="1" totalsRowDxfId="9">
  <autoFilter ref="A1:F26" xr:uid="{B2F74BC8-CC9B-40B0-84CE-426BE0801999}"/>
  <tableColumns count="6">
    <tableColumn id="1" xr3:uid="{858161DA-280E-451D-806E-C835A5B7B3C0}" uniqueName="1" name="year_month" totalsRowFunction="custom" queryTableFieldId="1" dataDxfId="8" totalsRowDxfId="7">
      <totalsRowFormula>TEXT(B27, "yyyy-mm")</totalsRowFormula>
    </tableColumn>
    <tableColumn id="2" xr3:uid="{4C054438-9408-4BD0-BBEA-40495F1796CD}" uniqueName="2" name="Date" totalsRowFunction="custom" queryTableFieldId="2" dataDxfId="6" totalsRowDxfId="5">
      <totalsRowFormula>EDATE(B26,1)</totalsRowFormula>
    </tableColumn>
    <tableColumn id="3" xr3:uid="{8D87D4CE-C2A8-4093-821F-E3DEC60DDEC5}" uniqueName="3" name="Historical Revenue" queryTableFieldId="3" dataDxfId="4" totalsRowDxfId="3"/>
    <tableColumn id="4" xr3:uid="{5BE65838-0A18-4760-BB2A-7D6BAF23FF15}" uniqueName="4" name="Forecast" totalsRowFunction="custom" queryTableFieldId="4" totalsRowDxfId="2">
      <calculatedColumnFormula>_xlfn.FORECAST.ETS(B2,$C$2:$C$25,$B$2:$B$25,12,1,1)</calculatedColumnFormula>
      <totalsRowFormula>_xlfn.FORECAST.ETS(B27,$C$2:$C$25,$B$2:$B$25,12,1,1)</totalsRowFormula>
    </tableColumn>
    <tableColumn id="5" xr3:uid="{7B33ADF3-4972-4703-98D8-5FBC8C57BAB6}" uniqueName="5" name="Lower 95% CI" totalsRowFunction="custom" queryTableFieldId="5" totalsRowDxfId="1">
      <calculatedColumnFormula>D2-_xlfn.FORECAST.ETS.CONFINT($B2,$C$2:$C$25,$B$2:$B$25,0.95,12,1,1)</calculatedColumnFormula>
      <totalsRowFormula>D27-_xlfn.FORECAST.ETS.CONFINT($B27,$C$2:$C$25,$B$2:$B$25,0.95,12,1,1)</totalsRowFormula>
    </tableColumn>
    <tableColumn id="6" xr3:uid="{53583D1A-FCAF-4B5C-A032-D42139410A2C}" uniqueName="6" name="Upper 95% CI" totalsRowFunction="custom" queryTableFieldId="6" totalsRowDxfId="0">
      <calculatedColumnFormula>D2+_xlfn.FORECAST.ETS.CONFINT($B2,$C$2:$C$25,$B$2:$B$25,0.95,12,1,1)</calculatedColumnFormula>
      <totalsRowFormula>D27+_xlfn.FORECAST.ETS.CONFINT($B27,$C$2:$C$25,$B$2:$B$25,0.95,12,1,1)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C39F-1680-4F42-B386-780C712A2426}">
  <dimension ref="A1:C24"/>
  <sheetViews>
    <sheetView tabSelected="1" workbookViewId="0">
      <selection activeCell="C10" sqref="C10"/>
    </sheetView>
  </sheetViews>
  <sheetFormatPr defaultRowHeight="14.25" x14ac:dyDescent="0.45"/>
  <cols>
    <col min="1" max="1" width="43.33203125" bestFit="1" customWidth="1"/>
    <col min="2" max="2" width="14.796875" bestFit="1" customWidth="1"/>
  </cols>
  <sheetData>
    <row r="1" spans="1:3" s="16" customFormat="1" ht="18" x14ac:dyDescent="0.55000000000000004">
      <c r="A1" s="21" t="s">
        <v>44</v>
      </c>
      <c r="B1" s="21"/>
    </row>
    <row r="3" spans="1:3" x14ac:dyDescent="0.45">
      <c r="A3" t="s">
        <v>45</v>
      </c>
      <c r="B3" s="13">
        <f>SUM(B11:B22)</f>
        <v>9216894.8127809912</v>
      </c>
    </row>
    <row r="4" spans="1:3" x14ac:dyDescent="0.45">
      <c r="A4" t="s">
        <v>46</v>
      </c>
      <c r="B4" s="9">
        <f>'Model Validation'!I1</f>
        <v>0.21952050606253681</v>
      </c>
    </row>
    <row r="5" spans="1:3" x14ac:dyDescent="0.45">
      <c r="A5" t="s">
        <v>47</v>
      </c>
      <c r="B5" s="13">
        <f>(MAX(B11:B22)-AVERAGE(B11:B22))*B24</f>
        <v>323831.94297225401</v>
      </c>
      <c r="C5" s="12"/>
    </row>
    <row r="6" spans="1:3" ht="14.65" thickBot="1" x14ac:dyDescent="0.5"/>
    <row r="7" spans="1:3" ht="14.65" thickBot="1" x14ac:dyDescent="0.5">
      <c r="A7" s="17" t="s">
        <v>48</v>
      </c>
      <c r="B7" s="18" t="s">
        <v>49</v>
      </c>
    </row>
    <row r="8" spans="1:3" x14ac:dyDescent="0.45">
      <c r="B8" s="10" cm="1">
        <f t="array" ref="B8">_xlfn.SWITCH($B$7,"Base Case",1,"Optimistic (+10%)",1.1,"Stress Case (-10%)",0.9,1)</f>
        <v>1</v>
      </c>
    </row>
    <row r="10" spans="1:3" x14ac:dyDescent="0.45">
      <c r="A10" t="s">
        <v>1</v>
      </c>
      <c r="B10" t="s">
        <v>50</v>
      </c>
    </row>
    <row r="11" spans="1:3" x14ac:dyDescent="0.45">
      <c r="A11" s="1">
        <f>'Forecasting Engine'!B26</f>
        <v>40878</v>
      </c>
      <c r="B11" s="13">
        <f>'Forecasting Engine'!D26*$B$8</f>
        <v>1122333.5263623169</v>
      </c>
    </row>
    <row r="12" spans="1:3" x14ac:dyDescent="0.45">
      <c r="A12" s="1">
        <f>'Forecasting Engine'!B27</f>
        <v>40909</v>
      </c>
      <c r="B12" s="13">
        <f>'Forecasting Engine'!D27*$B$8</f>
        <v>587605.13624408911</v>
      </c>
    </row>
    <row r="13" spans="1:3" x14ac:dyDescent="0.45">
      <c r="A13" s="1">
        <f>'Forecasting Engine'!B28</f>
        <v>40940</v>
      </c>
      <c r="B13" s="13">
        <f>'Forecasting Engine'!D28*$B$8</f>
        <v>461944.27268901124</v>
      </c>
    </row>
    <row r="14" spans="1:3" x14ac:dyDescent="0.45">
      <c r="A14" s="1">
        <f>'Forecasting Engine'!B29</f>
        <v>40969</v>
      </c>
      <c r="B14" s="13">
        <f>'Forecasting Engine'!D29*$B$8</f>
        <v>618656.08070680406</v>
      </c>
    </row>
    <row r="15" spans="1:3" x14ac:dyDescent="0.45">
      <c r="A15" s="1">
        <f>'Forecasting Engine'!B30</f>
        <v>41000</v>
      </c>
      <c r="B15" s="13">
        <f>'Forecasting Engine'!D30*$B$8</f>
        <v>514638.15995633265</v>
      </c>
    </row>
    <row r="16" spans="1:3" x14ac:dyDescent="0.45">
      <c r="A16" s="1">
        <f>'Forecasting Engine'!B31</f>
        <v>41030</v>
      </c>
      <c r="B16" s="13">
        <f>'Forecasting Engine'!D31*$B$8</f>
        <v>655937.85802146571</v>
      </c>
    </row>
    <row r="17" spans="1:2" x14ac:dyDescent="0.45">
      <c r="A17" s="1">
        <f>'Forecasting Engine'!B32</f>
        <v>41061</v>
      </c>
      <c r="B17" s="13">
        <f>'Forecasting Engine'!D32*$B$8</f>
        <v>684052.84665680223</v>
      </c>
    </row>
    <row r="18" spans="1:2" x14ac:dyDescent="0.45">
      <c r="A18" s="1">
        <f>'Forecasting Engine'!B33</f>
        <v>41091</v>
      </c>
      <c r="B18" s="13">
        <f>'Forecasting Engine'!D33*$B$8</f>
        <v>647813.39081430412</v>
      </c>
    </row>
    <row r="19" spans="1:2" x14ac:dyDescent="0.45">
      <c r="A19" s="1">
        <f>'Forecasting Engine'!B34</f>
        <v>41122</v>
      </c>
      <c r="B19" s="13">
        <f>'Forecasting Engine'!D34*$B$8</f>
        <v>665089.97632416431</v>
      </c>
    </row>
    <row r="20" spans="1:2" x14ac:dyDescent="0.45">
      <c r="A20" s="1">
        <f>'Forecasting Engine'!B35</f>
        <v>41153</v>
      </c>
      <c r="B20" s="13">
        <f>'Forecasting Engine'!D35*$B$8</f>
        <v>886769.93539865222</v>
      </c>
    </row>
    <row r="21" spans="1:2" x14ac:dyDescent="0.45">
      <c r="A21" s="1">
        <f>'Forecasting Engine'!B36</f>
        <v>41183</v>
      </c>
      <c r="B21" s="13">
        <f>'Forecasting Engine'!D36*$B$8</f>
        <v>1015193.7110166557</v>
      </c>
    </row>
    <row r="22" spans="1:2" x14ac:dyDescent="0.45">
      <c r="A22" s="1">
        <f>'Forecasting Engine'!B37</f>
        <v>41214</v>
      </c>
      <c r="B22" s="13">
        <f>'Forecasting Engine'!D37*$B$8</f>
        <v>1356859.9185903929</v>
      </c>
    </row>
    <row r="23" spans="1:2" ht="14.65" thickBot="1" x14ac:dyDescent="0.5"/>
    <row r="24" spans="1:2" ht="14.65" thickBot="1" x14ac:dyDescent="0.5">
      <c r="A24" s="17" t="s">
        <v>51</v>
      </c>
      <c r="B24" s="18">
        <v>0.55000000000000004</v>
      </c>
    </row>
  </sheetData>
  <mergeCells count="1">
    <mergeCell ref="A1:B1"/>
  </mergeCells>
  <dataValidations count="1">
    <dataValidation type="list" allowBlank="1" showInputMessage="1" showErrorMessage="1" sqref="B7" xr:uid="{93091F81-4D7B-45EB-8909-92AC848CDCDB}">
      <formula1>"Base Case,Optimistic (+10%),Stress Case (-10%)"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1880-6123-4BDC-98F1-9B4B3A43AC7B}">
  <dimension ref="A1:I37"/>
  <sheetViews>
    <sheetView zoomScaleNormal="100" workbookViewId="0">
      <pane ySplit="1" topLeftCell="A2" activePane="bottomLeft" state="frozen"/>
      <selection pane="bottomLeft" activeCell="I28" sqref="I28"/>
    </sheetView>
  </sheetViews>
  <sheetFormatPr defaultRowHeight="14.25" x14ac:dyDescent="0.45"/>
  <cols>
    <col min="1" max="1" width="12.33203125" style="3" bestFit="1" customWidth="1"/>
    <col min="2" max="2" width="10.06640625" style="1" bestFit="1" customWidth="1"/>
    <col min="3" max="3" width="18.06640625" style="13" bestFit="1" customWidth="1"/>
    <col min="4" max="4" width="13.59765625" bestFit="1" customWidth="1"/>
    <col min="5" max="6" width="13.73046875" bestFit="1" customWidth="1"/>
    <col min="8" max="8" width="22.46484375" bestFit="1" customWidth="1"/>
  </cols>
  <sheetData>
    <row r="1" spans="1:9" x14ac:dyDescent="0.45">
      <c r="A1" s="3" t="s">
        <v>0</v>
      </c>
      <c r="B1" s="1" t="s">
        <v>1</v>
      </c>
      <c r="C1" s="13" t="s">
        <v>2</v>
      </c>
      <c r="D1" t="s">
        <v>3</v>
      </c>
      <c r="E1" t="s">
        <v>4</v>
      </c>
      <c r="F1" t="s">
        <v>5</v>
      </c>
      <c r="H1" t="s">
        <v>30</v>
      </c>
    </row>
    <row r="2" spans="1:9" x14ac:dyDescent="0.45">
      <c r="A2" s="3" t="s">
        <v>6</v>
      </c>
      <c r="B2" s="1">
        <v>40148</v>
      </c>
      <c r="C2" s="13">
        <v>729781.68</v>
      </c>
      <c r="E2" s="2"/>
      <c r="F2" s="2"/>
      <c r="H2" t="s">
        <v>31</v>
      </c>
      <c r="I2">
        <f>_xlfn.FORECAST.ETS.STAT($C$2:$C$25,$B$2:$B$25,1,12,1,1)</f>
        <v>0.998</v>
      </c>
    </row>
    <row r="3" spans="1:9" x14ac:dyDescent="0.45">
      <c r="A3" s="3" t="s">
        <v>7</v>
      </c>
      <c r="B3" s="1">
        <v>40179</v>
      </c>
      <c r="C3" s="13">
        <v>484647.53</v>
      </c>
      <c r="E3" s="2"/>
      <c r="F3" s="2"/>
      <c r="H3" t="s">
        <v>32</v>
      </c>
      <c r="I3">
        <f>_xlfn.FORECAST.ETS.STAT($C$2:$C$25,$B$2:$B$25,2,12,1,1)</f>
        <v>9.9000000000000005E-2</v>
      </c>
    </row>
    <row r="4" spans="1:9" x14ac:dyDescent="0.45">
      <c r="A4" s="3" t="s">
        <v>8</v>
      </c>
      <c r="B4" s="1">
        <v>40210</v>
      </c>
      <c r="C4" s="13">
        <v>447842.01</v>
      </c>
      <c r="E4" s="2"/>
      <c r="F4" s="2"/>
      <c r="H4" t="s">
        <v>33</v>
      </c>
      <c r="I4">
        <f>_xlfn.FORECAST.ETS.STAT($C$2:$C$25,$B$2:$B$25,3,12,1,1)</f>
        <v>1E-3</v>
      </c>
    </row>
    <row r="5" spans="1:9" x14ac:dyDescent="0.45">
      <c r="A5" s="3" t="s">
        <v>9</v>
      </c>
      <c r="B5" s="1">
        <v>40238</v>
      </c>
      <c r="C5" s="13">
        <v>670956.71</v>
      </c>
      <c r="E5" s="2"/>
      <c r="F5" s="2"/>
    </row>
    <row r="6" spans="1:9" x14ac:dyDescent="0.45">
      <c r="A6" s="3" t="s">
        <v>10</v>
      </c>
      <c r="B6" s="1">
        <v>40269</v>
      </c>
      <c r="C6" s="13">
        <v>558114.09</v>
      </c>
      <c r="E6" s="2"/>
      <c r="F6" s="2"/>
      <c r="H6" t="s">
        <v>34</v>
      </c>
      <c r="I6">
        <f>_xlfn.FORECAST.ETS.SEASONALITY($C$2:$C$25,$B$2:$B$25,1,1)</f>
        <v>0</v>
      </c>
    </row>
    <row r="7" spans="1:9" x14ac:dyDescent="0.45">
      <c r="A7" s="3" t="s">
        <v>11</v>
      </c>
      <c r="B7" s="1">
        <v>40299</v>
      </c>
      <c r="C7" s="13">
        <v>553099.74</v>
      </c>
      <c r="E7" s="2"/>
      <c r="F7" s="2"/>
    </row>
    <row r="8" spans="1:9" x14ac:dyDescent="0.45">
      <c r="A8" s="3" t="s">
        <v>12</v>
      </c>
      <c r="B8" s="1">
        <v>40330</v>
      </c>
      <c r="C8" s="13">
        <v>603400.69999999995</v>
      </c>
      <c r="E8" s="2"/>
      <c r="F8" s="2"/>
    </row>
    <row r="9" spans="1:9" x14ac:dyDescent="0.45">
      <c r="A9" s="3" t="s">
        <v>13</v>
      </c>
      <c r="B9" s="1">
        <v>40360</v>
      </c>
      <c r="C9" s="13">
        <v>552195.31000000006</v>
      </c>
      <c r="E9" s="2"/>
      <c r="F9" s="2"/>
    </row>
    <row r="10" spans="1:9" x14ac:dyDescent="0.45">
      <c r="A10" s="3" t="s">
        <v>14</v>
      </c>
      <c r="B10" s="1">
        <v>40391</v>
      </c>
      <c r="C10" s="13">
        <v>582147.37</v>
      </c>
      <c r="E10" s="2"/>
      <c r="F10" s="2"/>
    </row>
    <row r="11" spans="1:9" x14ac:dyDescent="0.45">
      <c r="A11" s="3" t="s">
        <v>15</v>
      </c>
      <c r="B11" s="1">
        <v>40422</v>
      </c>
      <c r="C11" s="13">
        <v>727454.58</v>
      </c>
      <c r="E11" s="2"/>
      <c r="F11" s="2"/>
    </row>
    <row r="12" spans="1:9" x14ac:dyDescent="0.45">
      <c r="A12" s="3" t="s">
        <v>16</v>
      </c>
      <c r="B12" s="1">
        <v>40452</v>
      </c>
      <c r="C12" s="13">
        <v>947424.5</v>
      </c>
      <c r="E12" s="2"/>
      <c r="F12" s="2"/>
    </row>
    <row r="13" spans="1:9" x14ac:dyDescent="0.45">
      <c r="A13" s="3" t="s">
        <v>17</v>
      </c>
      <c r="B13" s="1">
        <v>40483</v>
      </c>
      <c r="C13" s="13">
        <v>1251705.07</v>
      </c>
      <c r="E13" s="2"/>
      <c r="F13" s="2"/>
    </row>
    <row r="14" spans="1:9" x14ac:dyDescent="0.45">
      <c r="A14" s="3" t="s">
        <v>18</v>
      </c>
      <c r="B14" s="1">
        <v>40513</v>
      </c>
      <c r="C14" s="13">
        <v>1084989.96</v>
      </c>
      <c r="E14" s="2"/>
      <c r="F14" s="2"/>
    </row>
    <row r="15" spans="1:9" x14ac:dyDescent="0.45">
      <c r="A15" s="3" t="s">
        <v>19</v>
      </c>
      <c r="B15" s="1">
        <v>40544</v>
      </c>
      <c r="C15" s="13">
        <v>547167.61</v>
      </c>
      <c r="E15" s="2"/>
      <c r="F15" s="2"/>
    </row>
    <row r="16" spans="1:9" x14ac:dyDescent="0.45">
      <c r="A16" s="3" t="s">
        <v>20</v>
      </c>
      <c r="B16" s="1">
        <v>40575</v>
      </c>
      <c r="C16" s="13">
        <v>418933.95</v>
      </c>
      <c r="E16" s="2"/>
      <c r="F16" s="2"/>
    </row>
    <row r="17" spans="1:6" x14ac:dyDescent="0.45">
      <c r="A17" s="3" t="s">
        <v>21</v>
      </c>
      <c r="B17" s="1">
        <v>40603</v>
      </c>
      <c r="C17" s="13">
        <v>572873.13</v>
      </c>
      <c r="E17" s="2"/>
      <c r="F17" s="2"/>
    </row>
    <row r="18" spans="1:6" x14ac:dyDescent="0.45">
      <c r="A18" s="3" t="s">
        <v>22</v>
      </c>
      <c r="B18" s="1">
        <v>40634</v>
      </c>
      <c r="C18" s="13">
        <v>466132.15</v>
      </c>
      <c r="E18" s="2"/>
      <c r="F18" s="2"/>
    </row>
    <row r="19" spans="1:6" x14ac:dyDescent="0.45">
      <c r="A19" s="3" t="s">
        <v>23</v>
      </c>
      <c r="B19" s="1">
        <v>40664</v>
      </c>
      <c r="C19" s="13">
        <v>619391.15</v>
      </c>
      <c r="E19" s="2"/>
      <c r="F19" s="2"/>
    </row>
    <row r="20" spans="1:6" x14ac:dyDescent="0.45">
      <c r="A20" s="3" t="s">
        <v>24</v>
      </c>
      <c r="B20" s="1">
        <v>40695</v>
      </c>
      <c r="C20" s="13">
        <v>606195.96</v>
      </c>
      <c r="E20" s="2"/>
      <c r="F20" s="2"/>
    </row>
    <row r="21" spans="1:6" x14ac:dyDescent="0.45">
      <c r="A21" s="3" t="s">
        <v>25</v>
      </c>
      <c r="B21" s="1">
        <v>40725</v>
      </c>
      <c r="C21" s="13">
        <v>578224.68000000005</v>
      </c>
      <c r="E21" s="2"/>
      <c r="F21" s="2"/>
    </row>
    <row r="22" spans="1:6" x14ac:dyDescent="0.45">
      <c r="A22" s="3" t="s">
        <v>26</v>
      </c>
      <c r="B22" s="1">
        <v>40756</v>
      </c>
      <c r="C22" s="13">
        <v>579958.6</v>
      </c>
      <c r="E22" s="2"/>
      <c r="F22" s="2"/>
    </row>
    <row r="23" spans="1:6" x14ac:dyDescent="0.45">
      <c r="A23" s="3" t="s">
        <v>27</v>
      </c>
      <c r="B23" s="1">
        <v>40787</v>
      </c>
      <c r="C23" s="13">
        <v>878029.11</v>
      </c>
      <c r="E23" s="2"/>
      <c r="F23" s="2"/>
    </row>
    <row r="24" spans="1:6" x14ac:dyDescent="0.45">
      <c r="A24" s="3" t="s">
        <v>28</v>
      </c>
      <c r="B24" s="1">
        <v>40817</v>
      </c>
      <c r="C24" s="13">
        <v>914678.25</v>
      </c>
      <c r="E24" s="2"/>
      <c r="F24" s="2"/>
    </row>
    <row r="25" spans="1:6" x14ac:dyDescent="0.45">
      <c r="A25" s="3" t="s">
        <v>29</v>
      </c>
      <c r="B25" s="1">
        <v>40848</v>
      </c>
      <c r="C25" s="13">
        <v>1286274.78</v>
      </c>
      <c r="E25" s="2"/>
      <c r="F25" s="2"/>
    </row>
    <row r="26" spans="1:6" x14ac:dyDescent="0.45">
      <c r="A26" s="3" t="str">
        <f>TEXT(B26, "yyyy-mm")</f>
        <v>2011-12</v>
      </c>
      <c r="B26" s="1">
        <v>40878</v>
      </c>
      <c r="D26" s="13">
        <f>_xlfn.FORECAST.ETS(B26,$C$2:$C$25,$B$2:$B$25,12,1,1)</f>
        <v>1122333.5263623169</v>
      </c>
      <c r="E26" s="13">
        <f t="shared" ref="E26:E37" si="0">D26-_xlfn.FORECAST.ETS.CONFINT($B26,$C$2:$C$25,$B$2:$B$25,0.95,12,1,1)</f>
        <v>960935.02952437126</v>
      </c>
      <c r="F26" s="13">
        <f t="shared" ref="F26:F37" si="1">D26+_xlfn.FORECAST.ETS.CONFINT($B26,$C$2:$C$25,$B$2:$B$25,0.95,12,1,1)</f>
        <v>1283732.0232002626</v>
      </c>
    </row>
    <row r="27" spans="1:6" x14ac:dyDescent="0.45">
      <c r="A27" s="3" t="str">
        <f>TEXT(B27, "yyyy-mm")</f>
        <v>2012-01</v>
      </c>
      <c r="B27" s="1">
        <f>EDATE(B26,1)</f>
        <v>40909</v>
      </c>
      <c r="D27" s="13">
        <f>_xlfn.FORECAST.ETS(B27,$C$2:$C$25,$B$2:$B$25,12,1,1)</f>
        <v>587605.13624408911</v>
      </c>
      <c r="E27" s="13">
        <f t="shared" si="0"/>
        <v>348027.07552287716</v>
      </c>
      <c r="F27" s="13">
        <f t="shared" si="1"/>
        <v>827183.19696530106</v>
      </c>
    </row>
    <row r="28" spans="1:6" x14ac:dyDescent="0.45">
      <c r="A28" s="3" t="str">
        <f>TEXT(B28, "yyyy-mm")</f>
        <v>2012-02</v>
      </c>
      <c r="B28" s="1">
        <f>EDATE(B27,1)</f>
        <v>40940</v>
      </c>
      <c r="D28" s="13">
        <f t="shared" ref="D28:D37" si="2">_xlfn.FORECAST.ETS(B28,$C$2:$C$25,$B$2:$B$25,12,1,1)</f>
        <v>461944.27268901124</v>
      </c>
      <c r="E28" s="13">
        <f t="shared" si="0"/>
        <v>154276.86671616527</v>
      </c>
      <c r="F28" s="13">
        <f t="shared" si="1"/>
        <v>769611.67866185727</v>
      </c>
    </row>
    <row r="29" spans="1:6" x14ac:dyDescent="0.45">
      <c r="A29" s="3" t="str">
        <f t="shared" ref="A29:A37" si="3">TEXT(B29, "yyyy-mm")</f>
        <v>2012-03</v>
      </c>
      <c r="B29" s="1">
        <f t="shared" ref="B29:B37" si="4">EDATE(B28,1)</f>
        <v>40969</v>
      </c>
      <c r="D29" s="13">
        <f t="shared" si="2"/>
        <v>618656.08070680406</v>
      </c>
      <c r="E29" s="13">
        <f t="shared" si="0"/>
        <v>246708.70117095334</v>
      </c>
      <c r="F29" s="13">
        <f t="shared" si="1"/>
        <v>990603.46024265478</v>
      </c>
    </row>
    <row r="30" spans="1:6" x14ac:dyDescent="0.45">
      <c r="A30" s="3" t="str">
        <f t="shared" si="3"/>
        <v>2012-04</v>
      </c>
      <c r="B30" s="1">
        <f t="shared" si="4"/>
        <v>41000</v>
      </c>
      <c r="D30" s="13">
        <f t="shared" si="2"/>
        <v>514638.15995633265</v>
      </c>
      <c r="E30" s="13">
        <f t="shared" si="0"/>
        <v>79936.963362415787</v>
      </c>
      <c r="F30" s="13">
        <f t="shared" si="1"/>
        <v>949339.3565502495</v>
      </c>
    </row>
    <row r="31" spans="1:6" x14ac:dyDescent="0.45">
      <c r="A31" s="3" t="str">
        <f t="shared" si="3"/>
        <v>2012-05</v>
      </c>
      <c r="B31" s="1">
        <f t="shared" si="4"/>
        <v>41030</v>
      </c>
      <c r="D31" s="13">
        <f t="shared" si="2"/>
        <v>655937.85802146571</v>
      </c>
      <c r="E31" s="13">
        <f t="shared" si="0"/>
        <v>158916.04156617291</v>
      </c>
      <c r="F31" s="13">
        <f t="shared" si="1"/>
        <v>1152959.6744767586</v>
      </c>
    </row>
    <row r="32" spans="1:6" x14ac:dyDescent="0.45">
      <c r="A32" s="3" t="str">
        <f t="shared" si="3"/>
        <v>2012-06</v>
      </c>
      <c r="B32" s="1">
        <f t="shared" si="4"/>
        <v>41061</v>
      </c>
      <c r="D32" s="13">
        <f t="shared" si="2"/>
        <v>684052.84665680223</v>
      </c>
      <c r="E32" s="13">
        <f t="shared" si="0"/>
        <v>124542.21933569317</v>
      </c>
      <c r="F32" s="13">
        <f t="shared" si="1"/>
        <v>1243563.4739779113</v>
      </c>
    </row>
    <row r="33" spans="1:6" x14ac:dyDescent="0.45">
      <c r="A33" s="3" t="str">
        <f t="shared" si="3"/>
        <v>2012-07</v>
      </c>
      <c r="B33" s="1">
        <f t="shared" si="4"/>
        <v>41091</v>
      </c>
      <c r="D33" s="13">
        <f t="shared" si="2"/>
        <v>647813.39081430412</v>
      </c>
      <c r="E33" s="13">
        <f t="shared" si="0"/>
        <v>25286.186362099019</v>
      </c>
      <c r="F33" s="13">
        <f t="shared" si="1"/>
        <v>1270340.5952665093</v>
      </c>
    </row>
    <row r="34" spans="1:6" x14ac:dyDescent="0.45">
      <c r="A34" s="3" t="str">
        <f t="shared" si="3"/>
        <v>2012-08</v>
      </c>
      <c r="B34" s="1">
        <f t="shared" si="4"/>
        <v>41122</v>
      </c>
      <c r="D34" s="13">
        <f t="shared" si="2"/>
        <v>665089.97632416431</v>
      </c>
      <c r="E34" s="13">
        <f t="shared" si="0"/>
        <v>-21208.24051064346</v>
      </c>
      <c r="F34" s="13">
        <f t="shared" si="1"/>
        <v>1351388.1931589721</v>
      </c>
    </row>
    <row r="35" spans="1:6" x14ac:dyDescent="0.45">
      <c r="A35" s="3" t="str">
        <f t="shared" si="3"/>
        <v>2012-09</v>
      </c>
      <c r="B35" s="1">
        <f t="shared" si="4"/>
        <v>41153</v>
      </c>
      <c r="D35" s="13">
        <f t="shared" si="2"/>
        <v>886769.93539865222</v>
      </c>
      <c r="E35" s="13">
        <f t="shared" si="0"/>
        <v>135798.47766366857</v>
      </c>
      <c r="F35" s="13">
        <f t="shared" si="1"/>
        <v>1637741.3931336359</v>
      </c>
    </row>
    <row r="36" spans="1:6" x14ac:dyDescent="0.45">
      <c r="A36" s="3" t="str">
        <f t="shared" si="3"/>
        <v>2012-10</v>
      </c>
      <c r="B36" s="1">
        <f t="shared" si="4"/>
        <v>41183</v>
      </c>
      <c r="D36" s="13">
        <f t="shared" si="2"/>
        <v>1015193.7110166557</v>
      </c>
      <c r="E36" s="13">
        <f t="shared" si="0"/>
        <v>198548.4968669283</v>
      </c>
      <c r="F36" s="13">
        <f t="shared" si="1"/>
        <v>1831838.9251663829</v>
      </c>
    </row>
    <row r="37" spans="1:6" x14ac:dyDescent="0.45">
      <c r="A37" s="3" t="str">
        <f t="shared" si="3"/>
        <v>2012-11</v>
      </c>
      <c r="B37" s="1">
        <f t="shared" si="4"/>
        <v>41214</v>
      </c>
      <c r="D37" s="13">
        <f t="shared" si="2"/>
        <v>1356859.9185903929</v>
      </c>
      <c r="E37" s="13">
        <f t="shared" si="0"/>
        <v>473474.560652846</v>
      </c>
      <c r="F37" s="13">
        <f t="shared" si="1"/>
        <v>2240245.2765279398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BD3B-DF49-4507-BEDB-C409F134387D}">
  <dimension ref="A1:O25"/>
  <sheetViews>
    <sheetView workbookViewId="0">
      <selection activeCell="I1" sqref="I1"/>
    </sheetView>
  </sheetViews>
  <sheetFormatPr defaultRowHeight="14.25" x14ac:dyDescent="0.45"/>
  <cols>
    <col min="1" max="2" width="9.9296875" bestFit="1" customWidth="1"/>
    <col min="3" max="3" width="13.59765625" style="13" bestFit="1" customWidth="1"/>
    <col min="4" max="4" width="6.59765625" bestFit="1" customWidth="1"/>
    <col min="5" max="5" width="14.73046875" bestFit="1" customWidth="1"/>
    <col min="6" max="6" width="9.265625" style="8" customWidth="1"/>
    <col min="8" max="8" width="33.9296875" bestFit="1" customWidth="1"/>
  </cols>
  <sheetData>
    <row r="1" spans="1:15" x14ac:dyDescent="0.45">
      <c r="A1" t="s">
        <v>0</v>
      </c>
      <c r="B1" t="s">
        <v>1</v>
      </c>
      <c r="C1" s="13" t="s">
        <v>35</v>
      </c>
      <c r="D1" t="s">
        <v>36</v>
      </c>
      <c r="E1" t="s">
        <v>37</v>
      </c>
      <c r="F1" s="8" t="s">
        <v>38</v>
      </c>
      <c r="H1" t="s">
        <v>41</v>
      </c>
      <c r="I1" s="19">
        <f>AVERAGE(F20:F25)</f>
        <v>0.21952050606253681</v>
      </c>
    </row>
    <row r="2" spans="1:15" x14ac:dyDescent="0.45">
      <c r="A2" s="4" t="s">
        <v>6</v>
      </c>
      <c r="B2" s="5">
        <v>40148</v>
      </c>
      <c r="C2" s="14">
        <v>729781.68</v>
      </c>
      <c r="D2" t="s">
        <v>39</v>
      </c>
      <c r="H2" t="s">
        <v>42</v>
      </c>
      <c r="I2" s="10">
        <f>_xlfn.FORECAST.ETS.SEASONALITY($C$2:$C$19,$B$2:$B$19,1,1)</f>
        <v>0</v>
      </c>
    </row>
    <row r="3" spans="1:15" x14ac:dyDescent="0.45">
      <c r="A3" s="6" t="s">
        <v>7</v>
      </c>
      <c r="B3" s="7">
        <v>40179</v>
      </c>
      <c r="C3" s="15">
        <v>484647.53</v>
      </c>
      <c r="D3" t="s">
        <v>39</v>
      </c>
    </row>
    <row r="4" spans="1:15" ht="14.25" customHeight="1" x14ac:dyDescent="0.45">
      <c r="A4" s="4" t="s">
        <v>8</v>
      </c>
      <c r="B4" s="5">
        <v>40210</v>
      </c>
      <c r="C4" s="14">
        <v>447842.01</v>
      </c>
      <c r="D4" t="s">
        <v>39</v>
      </c>
      <c r="H4" t="s">
        <v>43</v>
      </c>
      <c r="I4" s="20" t="s">
        <v>52</v>
      </c>
      <c r="J4" s="20"/>
      <c r="K4" s="20"/>
      <c r="L4" s="20"/>
      <c r="M4" s="20"/>
      <c r="N4" s="20"/>
      <c r="O4" s="20"/>
    </row>
    <row r="5" spans="1:15" x14ac:dyDescent="0.45">
      <c r="A5" s="6" t="s">
        <v>9</v>
      </c>
      <c r="B5" s="7">
        <v>40238</v>
      </c>
      <c r="C5" s="15">
        <v>670956.71</v>
      </c>
      <c r="D5" t="s">
        <v>39</v>
      </c>
      <c r="I5" s="20"/>
      <c r="J5" s="20"/>
      <c r="K5" s="20"/>
      <c r="L5" s="20"/>
      <c r="M5" s="20"/>
      <c r="N5" s="20"/>
      <c r="O5" s="20"/>
    </row>
    <row r="6" spans="1:15" x14ac:dyDescent="0.45">
      <c r="A6" s="4" t="s">
        <v>10</v>
      </c>
      <c r="B6" s="5">
        <v>40269</v>
      </c>
      <c r="C6" s="14">
        <v>558114.09</v>
      </c>
      <c r="D6" t="s">
        <v>39</v>
      </c>
      <c r="I6" s="20"/>
      <c r="J6" s="20"/>
      <c r="K6" s="20"/>
      <c r="L6" s="20"/>
      <c r="M6" s="20"/>
      <c r="N6" s="20"/>
      <c r="O6" s="20"/>
    </row>
    <row r="7" spans="1:15" x14ac:dyDescent="0.45">
      <c r="A7" s="6" t="s">
        <v>11</v>
      </c>
      <c r="B7" s="7">
        <v>40299</v>
      </c>
      <c r="C7" s="15">
        <v>553099.74</v>
      </c>
      <c r="D7" t="s">
        <v>39</v>
      </c>
      <c r="I7" s="20"/>
      <c r="J7" s="20"/>
      <c r="K7" s="20"/>
      <c r="L7" s="20"/>
      <c r="M7" s="20"/>
      <c r="N7" s="20"/>
      <c r="O7" s="20"/>
    </row>
    <row r="8" spans="1:15" x14ac:dyDescent="0.45">
      <c r="A8" s="4" t="s">
        <v>12</v>
      </c>
      <c r="B8" s="5">
        <v>40330</v>
      </c>
      <c r="C8" s="14">
        <v>603400.69999999995</v>
      </c>
      <c r="D8" t="s">
        <v>39</v>
      </c>
      <c r="I8" s="20"/>
      <c r="J8" s="20"/>
      <c r="K8" s="20"/>
      <c r="L8" s="20"/>
      <c r="M8" s="20"/>
      <c r="N8" s="20"/>
      <c r="O8" s="20"/>
    </row>
    <row r="9" spans="1:15" x14ac:dyDescent="0.45">
      <c r="A9" s="6" t="s">
        <v>13</v>
      </c>
      <c r="B9" s="7">
        <v>40360</v>
      </c>
      <c r="C9" s="15">
        <v>552195.31000000006</v>
      </c>
      <c r="D9" t="s">
        <v>39</v>
      </c>
      <c r="I9" s="20"/>
      <c r="J9" s="20"/>
      <c r="K9" s="20"/>
      <c r="L9" s="20"/>
      <c r="M9" s="20"/>
      <c r="N9" s="20"/>
      <c r="O9" s="20"/>
    </row>
    <row r="10" spans="1:15" x14ac:dyDescent="0.45">
      <c r="A10" s="4" t="s">
        <v>14</v>
      </c>
      <c r="B10" s="5">
        <v>40391</v>
      </c>
      <c r="C10" s="14">
        <v>582147.37</v>
      </c>
      <c r="D10" t="s">
        <v>39</v>
      </c>
      <c r="I10" s="20"/>
      <c r="J10" s="20"/>
      <c r="K10" s="20"/>
      <c r="L10" s="20"/>
      <c r="M10" s="20"/>
      <c r="N10" s="20"/>
      <c r="O10" s="20"/>
    </row>
    <row r="11" spans="1:15" x14ac:dyDescent="0.45">
      <c r="A11" s="6" t="s">
        <v>15</v>
      </c>
      <c r="B11" s="7">
        <v>40422</v>
      </c>
      <c r="C11" s="15">
        <v>727454.58</v>
      </c>
      <c r="D11" t="s">
        <v>39</v>
      </c>
      <c r="I11" s="11"/>
      <c r="J11" s="11"/>
      <c r="K11" s="11"/>
      <c r="L11" s="11"/>
      <c r="M11" s="11"/>
      <c r="N11" s="11"/>
      <c r="O11" s="11"/>
    </row>
    <row r="12" spans="1:15" x14ac:dyDescent="0.45">
      <c r="A12" s="4" t="s">
        <v>16</v>
      </c>
      <c r="B12" s="5">
        <v>40452</v>
      </c>
      <c r="C12" s="14">
        <v>947424.5</v>
      </c>
      <c r="D12" t="s">
        <v>39</v>
      </c>
      <c r="I12" s="11"/>
      <c r="J12" s="11"/>
      <c r="K12" s="11"/>
      <c r="L12" s="11"/>
      <c r="M12" s="11"/>
      <c r="N12" s="11"/>
      <c r="O12" s="11"/>
    </row>
    <row r="13" spans="1:15" x14ac:dyDescent="0.45">
      <c r="A13" s="6" t="s">
        <v>17</v>
      </c>
      <c r="B13" s="7">
        <v>40483</v>
      </c>
      <c r="C13" s="15">
        <v>1251705.07</v>
      </c>
      <c r="D13" t="s">
        <v>39</v>
      </c>
      <c r="I13" s="11"/>
      <c r="J13" s="11"/>
      <c r="K13" s="11"/>
      <c r="L13" s="11"/>
      <c r="M13" s="11"/>
      <c r="N13" s="11"/>
      <c r="O13" s="11"/>
    </row>
    <row r="14" spans="1:15" x14ac:dyDescent="0.45">
      <c r="A14" s="4" t="s">
        <v>18</v>
      </c>
      <c r="B14" s="5">
        <v>40513</v>
      </c>
      <c r="C14" s="14">
        <v>1084989.96</v>
      </c>
      <c r="D14" t="s">
        <v>39</v>
      </c>
    </row>
    <row r="15" spans="1:15" x14ac:dyDescent="0.45">
      <c r="A15" s="6" t="s">
        <v>19</v>
      </c>
      <c r="B15" s="7">
        <v>40544</v>
      </c>
      <c r="C15" s="15">
        <v>547167.61</v>
      </c>
      <c r="D15" t="s">
        <v>39</v>
      </c>
    </row>
    <row r="16" spans="1:15" x14ac:dyDescent="0.45">
      <c r="A16" s="4" t="s">
        <v>20</v>
      </c>
      <c r="B16" s="5">
        <v>40575</v>
      </c>
      <c r="C16" s="14">
        <v>418933.95</v>
      </c>
      <c r="D16" t="s">
        <v>39</v>
      </c>
    </row>
    <row r="17" spans="1:6" x14ac:dyDescent="0.45">
      <c r="A17" s="6" t="s">
        <v>21</v>
      </c>
      <c r="B17" s="7">
        <v>40603</v>
      </c>
      <c r="C17" s="15">
        <v>572873.13</v>
      </c>
      <c r="D17" t="s">
        <v>39</v>
      </c>
    </row>
    <row r="18" spans="1:6" x14ac:dyDescent="0.45">
      <c r="A18" s="4" t="s">
        <v>22</v>
      </c>
      <c r="B18" s="5">
        <v>40634</v>
      </c>
      <c r="C18" s="14">
        <v>466132.15</v>
      </c>
      <c r="D18" t="s">
        <v>39</v>
      </c>
    </row>
    <row r="19" spans="1:6" x14ac:dyDescent="0.45">
      <c r="A19" s="6" t="s">
        <v>23</v>
      </c>
      <c r="B19" s="7">
        <v>40664</v>
      </c>
      <c r="C19" s="15">
        <v>619391.15</v>
      </c>
      <c r="D19" t="s">
        <v>39</v>
      </c>
    </row>
    <row r="20" spans="1:6" x14ac:dyDescent="0.45">
      <c r="A20" s="4" t="s">
        <v>24</v>
      </c>
      <c r="B20" s="5">
        <v>40695</v>
      </c>
      <c r="C20" s="14">
        <v>606195.96</v>
      </c>
      <c r="D20" t="s">
        <v>40</v>
      </c>
      <c r="E20">
        <f>_xlfn.FORECAST.ETS(B20,$C$2:$C$19,$B$2:$B$19,1,1,1)</f>
        <v>642640.0537708028</v>
      </c>
      <c r="F20" s="9">
        <f>ABS(C20-E20)/C20</f>
        <v>6.0119328031818027E-2</v>
      </c>
    </row>
    <row r="21" spans="1:6" x14ac:dyDescent="0.45">
      <c r="A21" s="6" t="s">
        <v>25</v>
      </c>
      <c r="B21" s="7">
        <v>40725</v>
      </c>
      <c r="C21" s="15">
        <v>578224.68000000005</v>
      </c>
      <c r="D21" t="s">
        <v>40</v>
      </c>
      <c r="E21">
        <f>_xlfn.FORECAST.ETS(B21,$C$2:$C$19,$B$2:$B$19,1,1,1)</f>
        <v>647004.68134928984</v>
      </c>
      <c r="F21" s="9">
        <f>ABS(C21-E21)/C21</f>
        <v>0.11895030379763413</v>
      </c>
    </row>
    <row r="22" spans="1:6" x14ac:dyDescent="0.45">
      <c r="A22" s="4" t="s">
        <v>26</v>
      </c>
      <c r="B22" s="5">
        <v>40756</v>
      </c>
      <c r="C22" s="14">
        <v>579958.6</v>
      </c>
      <c r="D22" t="s">
        <v>40</v>
      </c>
      <c r="E22">
        <f t="shared" ref="E22:E25" si="0">_xlfn.FORECAST.ETS(B22,$C$2:$C$19,$B$2:$B$19,1,1,1)</f>
        <v>651369.30892777699</v>
      </c>
      <c r="F22" s="9">
        <f t="shared" ref="F22:F25" si="1">ABS(C22-E22)/C22</f>
        <v>0.12313070092895771</v>
      </c>
    </row>
    <row r="23" spans="1:6" x14ac:dyDescent="0.45">
      <c r="A23" s="6" t="s">
        <v>27</v>
      </c>
      <c r="B23" s="7">
        <v>40787</v>
      </c>
      <c r="C23" s="15">
        <v>878029.11</v>
      </c>
      <c r="D23" t="s">
        <v>40</v>
      </c>
      <c r="E23">
        <f t="shared" si="0"/>
        <v>655733.93650626403</v>
      </c>
      <c r="F23" s="9">
        <f t="shared" si="1"/>
        <v>0.25317517490249947</v>
      </c>
    </row>
    <row r="24" spans="1:6" x14ac:dyDescent="0.45">
      <c r="A24" s="4" t="s">
        <v>28</v>
      </c>
      <c r="B24" s="5">
        <v>40817</v>
      </c>
      <c r="C24" s="14">
        <v>914678.25</v>
      </c>
      <c r="D24" t="s">
        <v>40</v>
      </c>
      <c r="E24">
        <f t="shared" si="0"/>
        <v>660098.56408475118</v>
      </c>
      <c r="F24" s="9">
        <f t="shared" si="1"/>
        <v>0.27832703567101197</v>
      </c>
    </row>
    <row r="25" spans="1:6" x14ac:dyDescent="0.45">
      <c r="A25" s="6" t="s">
        <v>29</v>
      </c>
      <c r="B25" s="7">
        <v>40848</v>
      </c>
      <c r="C25" s="15">
        <v>1286274.78</v>
      </c>
      <c r="D25" t="s">
        <v>40</v>
      </c>
      <c r="E25">
        <f t="shared" si="0"/>
        <v>664463.19166323822</v>
      </c>
      <c r="F25" s="9">
        <f t="shared" si="1"/>
        <v>0.48342049304329965</v>
      </c>
    </row>
  </sheetData>
  <mergeCells count="1">
    <mergeCell ref="I4:O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1557C-EB1F-499E-A351-D4708250E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Forecasting Engine</vt:lpstr>
      <vt:lpstr>Model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Iveren Owoso</dc:creator>
  <cp:lastModifiedBy>Iveren Owoso</cp:lastModifiedBy>
  <dcterms:created xsi:type="dcterms:W3CDTF">2026-09-10T22:25:45Z</dcterms:created>
  <dcterms:modified xsi:type="dcterms:W3CDTF">2026-09-12T14:33:17Z</dcterms:modified>
</cp:coreProperties>
</file>